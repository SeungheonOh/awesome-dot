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Inventory" sheetId="2" state="visible" r:id="rId4"/>
  </sheets>
  <definedNames>
    <definedName function="false" hidden="false" localSheetId="1" name="_xlnm.Print_Area" vbProcedure="false">Inventory!$A$1:$H$17</definedName>
    <definedName function="false" hidden="true" localSheetId="1" name="_xlnm._FilterDatabase" vbProcedure="false">Inventory!$A$7:$H$13</definedName>
    <definedName function="false" hidden="false" localSheetId="0" name="_xlnm.Print_Area" vbProcedure="false">Overview!$A$1:$C$21</definedName>
    <definedName function="false" hidden="false" name="AvailableUnits" vbProcedure="false">Inventory!$F$8:$F$13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<sst xmlns="http://schemas.openxmlformats.org/spreadsheetml/2006/main" count="65" uniqueCount="59">
  <si>
    <t xml:space="preserve">Equipment availability review</t>
  </si>
  <si>
    <t xml:space="preserve">Fictional export. Counts are equipment units.</t>
  </si>
  <si>
    <t xml:space="preserve">Numeric row-availability subtotal</t>
  </si>
  <si>
    <t xml:space="preserve">Includes both disputed 0044 rows</t>
  </si>
  <si>
    <t xml:space="preserve">Rows without numeric counts</t>
  </si>
  <si>
    <t xml:space="preserve">Missing counts remain visible</t>
  </si>
  <si>
    <t xml:space="preserve">Export records retained</t>
  </si>
  <si>
    <t xml:space="preserve">No records removed or combined</t>
  </si>
  <si>
    <t xml:space="preserve">Rows for kit 0044</t>
  </si>
  <si>
    <t xml:space="preserve">Two records have different ready counts</t>
  </si>
  <si>
    <t xml:space="preserve">Numeric subtotal from kit 0044</t>
  </si>
  <si>
    <t xml:space="preserve">Included in the row subtotal; unresolved</t>
  </si>
  <si>
    <t xml:space="preserve">Numeric subtotal outside kit 0044</t>
  </si>
  <si>
    <t xml:space="preserve">Row availability outside the disputed pair</t>
  </si>
  <si>
    <t xml:space="preserve">Numeric ready-count cells</t>
  </si>
  <si>
    <t xml:space="preserve">Counts numeric zero; excludes blanks and text</t>
  </si>
  <si>
    <t xml:space="preserve">Counts completeness</t>
  </si>
  <si>
    <t xml:space="preserve">Filling a count does not settle the key conflict</t>
  </si>
  <si>
    <t xml:space="preserve">Kit 0044 resolution</t>
  </si>
  <si>
    <t xml:space="preserve">No rule identifies a survivor</t>
  </si>
  <si>
    <t xml:space="preserve">Evidence still needed</t>
  </si>
  <si>
    <t xml:space="preserve">0025 and 0031: obtain the missing ready counts.</t>
  </si>
  <si>
    <t xml:space="preserve">0044: establish whether both rows are valid or which record is authoritative.</t>
  </si>
  <si>
    <t xml:space="preserve">Actual usable inventory remains unresolved: missing counts and conflicting rows.</t>
  </si>
  <si>
    <t xml:space="preserve">Workshop equipment export</t>
  </si>
  <si>
    <t xml:space="preserve">Fictional fixture. One row is one export record; kit ID is not a unique row key.</t>
  </si>
  <si>
    <t xml:space="preserve">Blank and N/A mean unknown counts. Numeric 0 means none.</t>
  </si>
  <si>
    <t xml:space="preserve">Available units = ready - reserved when both inputs are numeric.</t>
  </si>
  <si>
    <t xml:space="preserve">Source row</t>
  </si>
  <si>
    <t xml:space="preserve">Kit ID</t>
  </si>
  <si>
    <t xml:space="preserve">Equipment</t>
  </si>
  <si>
    <t xml:space="preserve">Ready units</t>
  </si>
  <si>
    <t xml:space="preserve">Reserved units</t>
  </si>
  <si>
    <t xml:space="preserve">Available units</t>
  </si>
  <si>
    <t xml:space="preserve">Status</t>
  </si>
  <si>
    <t xml:space="preserve">Review reason</t>
  </si>
  <si>
    <t xml:space="preserve">export-A:1</t>
  </si>
  <si>
    <t xml:space="preserve">0007</t>
  </si>
  <si>
    <t xml:space="preserve">USB-C dock</t>
  </si>
  <si>
    <t xml:space="preserve">ready</t>
  </si>
  <si>
    <t xml:space="preserve">export-A:2</t>
  </si>
  <si>
    <t xml:space="preserve">0012</t>
  </si>
  <si>
    <t xml:space="preserve">HDMI adapter</t>
  </si>
  <si>
    <t xml:space="preserve">export-A:3</t>
  </si>
  <si>
    <t xml:space="preserve">0025</t>
  </si>
  <si>
    <t xml:space="preserve">Webcam</t>
  </si>
  <si>
    <t xml:space="preserve">needs_count</t>
  </si>
  <si>
    <t xml:space="preserve">Missing ready count: source blank</t>
  </si>
  <si>
    <t xml:space="preserve">export-A:4</t>
  </si>
  <si>
    <t xml:space="preserve">0031</t>
  </si>
  <si>
    <t xml:space="preserve">Headset</t>
  </si>
  <si>
    <t xml:space="preserve">on_hold</t>
  </si>
  <si>
    <t xml:space="preserve">Missing count: source_marker (N/A)</t>
  </si>
  <si>
    <t xml:space="preserve">export-A:5</t>
  </si>
  <si>
    <t xml:space="preserve">0044</t>
  </si>
  <si>
    <t xml:space="preserve">Laptop stand</t>
  </si>
  <si>
    <t xml:space="preserve">Conflicting kit ID 0044</t>
  </si>
  <si>
    <t xml:space="preserve">export-A:6</t>
  </si>
  <si>
    <t xml:space="preserve">Keep both 0044 rows until the source owner supplies a record decision.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</si>
</sst>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@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172A3A"/>
      <name val="Arial"/>
      <family val="2"/>
      <charset val="1"/>
    </font>
    <font>
      <sz val="10"/>
      <color rgb="FF526273"/>
      <name val="Arial"/>
      <family val="2"/>
      <charset val="1"/>
    </font>
    <font>
      <b val="true"/>
      <sz val="16"/>
      <color rgb="FF172A3A"/>
      <name val="Arial"/>
      <family val="2"/>
      <charset val="1"/>
    </font>
    <font>
      <b val="true"/>
      <sz val="11"/>
      <color rgb="FF172A3A"/>
      <name val="Arial"/>
      <family val="2"/>
      <charset val="1"/>
    </font>
    <font>
      <b val="true"/>
      <sz val="11"/>
      <color rgb="FFFFFFFF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EDF3F6"/>
        <bgColor rgb="FFFFFFFF"/>
      </patternFill>
    </fill>
    <fill>
      <patternFill patternType="solid">
        <fgColor rgb="FF254B65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4" fillId="2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254B65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72A3A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DF3F6"/>
          <bgColor rgb="FF000000"/>
        </patternFill>
      </fill>
    </dxf>
    <dxf>
      <fill>
        <patternFill patternType="solid">
          <fgColor rgb="FFFFF1CF"/>
          <bgColor rgb="FF000000"/>
        </patternFill>
      </fill>
    </dxf>
    <dxf>
      <fill>
        <patternFill patternType="solid">
          <fgColor rgb="FF6B4D08"/>
          <bgColor rgb="FF000000"/>
        </patternFill>
      </fill>
    </dxf>
    <dxf>
      <font>
        <color rgb="FF6B4D08"/>
      </font>
      <fill>
        <patternFill>
          <bgColor rgb="FFFFF1CF"/>
        </patternFill>
      </fill>
    </dxf>
    <dxf>
      <font>
        <color rgb="FF862D2A"/>
      </font>
      <fill>
        <patternFill>
          <bgColor rgb="FFFCE1D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1CF"/>
      <rgbColor rgb="FFEDF3F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1DF"/>
      <rgbColor rgb="FF3366FF"/>
      <rgbColor rgb="FF33CCCC"/>
      <rgbColor rgb="FF99CC00"/>
      <rgbColor rgb="FFFFCC00"/>
      <rgbColor rgb="FFFF9900"/>
      <rgbColor rgb="FFFF6600"/>
      <rgbColor rgb="FF526273"/>
      <rgbColor rgb="FF969696"/>
      <rgbColor rgb="FF003366"/>
      <rgbColor rgb="FF339966"/>
      <rgbColor rgb="FF003300"/>
      <rgbColor rgb="FF6B4D08"/>
      <rgbColor rgb="FF862D2A"/>
      <rgbColor rgb="FF993366"/>
      <rgbColor rgb="FF254B65"/>
      <rgbColor rgb="FF172A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54B65"/>
    <pageSetUpPr fitToPage="true"/>
  </sheetPr>
  <dimension ref="A2:C20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24" customHeight="true" zeroHeight="false" outlineLevelRow="0" outlineLevelCol="0"/>
  <cols>
    <col collapsed="false" customWidth="true" hidden="false" outlineLevel="0" max="1" min="1" style="1" width="43.71"/>
    <col collapsed="false" customWidth="true" hidden="false" outlineLevel="0" max="2" min="2" style="1" width="18.71"/>
    <col collapsed="false" customWidth="true" hidden="false" outlineLevel="0" max="3" min="3" style="2" width="54.71"/>
  </cols>
  <sheetData>
    <row r="2" customFormat="false" ht="27.75" hidden="false" customHeight="true" outlineLevel="0" collapsed="false">
      <c r="A2" s="3" t="s">
        <v>0</v>
      </c>
    </row>
    <row r="3" customFormat="false" ht="24" hidden="false" customHeight="true" outlineLevel="0" collapsed="false">
      <c r="A3" s="2" t="s">
        <v>1</v>
      </c>
    </row>
    <row r="4" customFormat="false" ht="24" hidden="false" customHeight="true" outlineLevel="0" collapsed="false">
      <c r="A4" s="1" t="s">
        <v>2</v>
      </c>
      <c r="B4" s="4" t="n">
        <f aca="false">SUM(AvailableUnits)</f>
        <v>9</v>
      </c>
      <c r="C4" s="2" t="s">
        <v>3</v>
      </c>
    </row>
    <row r="5" customFormat="false" ht="24" hidden="false" customHeight="true" outlineLevel="0" collapsed="false">
      <c r="A5" s="1" t="s">
        <v>4</v>
      </c>
      <c r="B5" s="4" t="n">
        <f aca="false">COUNTIF(Inventory!F8:F13,"unknown")</f>
        <v>2</v>
      </c>
      <c r="C5" s="2" t="s">
        <v>5</v>
      </c>
    </row>
    <row r="6" customFormat="false" ht="24" hidden="false" customHeight="true" outlineLevel="0" collapsed="false">
      <c r="A6" s="1" t="s">
        <v>6</v>
      </c>
      <c r="B6" s="4" t="n">
        <f aca="false">COUNTA(Inventory!A8:A13)</f>
        <v>6</v>
      </c>
      <c r="C6" s="2" t="s">
        <v>7</v>
      </c>
    </row>
    <row r="7" customFormat="false" ht="24" hidden="false" customHeight="true" outlineLevel="0" collapsed="false">
      <c r="A7" s="1" t="s">
        <v>8</v>
      </c>
      <c r="B7" s="4" t="n">
        <f aca="false">COUNTIF(Inventory!B8:B13,"0044")</f>
        <v>2</v>
      </c>
      <c r="C7" s="2" t="s">
        <v>9</v>
      </c>
    </row>
    <row r="8" customFormat="false" ht="24" hidden="false" customHeight="true" outlineLevel="0" collapsed="false">
      <c r="A8" s="1" t="s">
        <v>10</v>
      </c>
      <c r="B8" s="4" t="n">
        <f aca="false">SUMIF(Inventory!B8:B13,"0044",Inventory!F8:F13)</f>
        <v>6</v>
      </c>
      <c r="C8" s="2" t="s">
        <v>11</v>
      </c>
    </row>
    <row r="9" customFormat="false" ht="24" hidden="false" customHeight="true" outlineLevel="0" collapsed="false">
      <c r="A9" s="1" t="s">
        <v>12</v>
      </c>
      <c r="B9" s="4" t="n">
        <f aca="false">B4-B8</f>
        <v>3</v>
      </c>
      <c r="C9" s="2" t="s">
        <v>13</v>
      </c>
    </row>
    <row r="10" customFormat="false" ht="24" hidden="false" customHeight="true" outlineLevel="0" collapsed="false">
      <c r="A10" s="1" t="s">
        <v>14</v>
      </c>
      <c r="B10" s="4" t="n">
        <f aca="false">COUNT(Inventory!D8:D13)</f>
        <v>4</v>
      </c>
      <c r="C10" s="2" t="s">
        <v>15</v>
      </c>
    </row>
    <row r="12" customFormat="false" ht="24" hidden="false" customHeight="true" outlineLevel="0" collapsed="false">
      <c r="A12" s="1" t="s">
        <v>16</v>
      </c>
      <c r="B12" s="5" t="str">
        <f aca="false">IF(B5&gt;0,"Incomplete","Complete")</f>
        <v>Incomplete</v>
      </c>
      <c r="C12" s="2" t="s">
        <v>17</v>
      </c>
    </row>
    <row r="13" customFormat="false" ht="24" hidden="false" customHeight="true" outlineLevel="0" collapsed="false">
      <c r="A13" s="1" t="s">
        <v>18</v>
      </c>
      <c r="B13" s="5" t="str">
        <f aca="false">IF(B7&gt;1,"Unresolved","No repeat")</f>
        <v>Unresolved</v>
      </c>
      <c r="C13" s="2" t="s">
        <v>19</v>
      </c>
    </row>
    <row r="16" customFormat="false" ht="24" hidden="false" customHeight="true" outlineLevel="0" collapsed="false">
      <c r="A16" s="5" t="s">
        <v>20</v>
      </c>
    </row>
    <row r="17" customFormat="false" ht="24" hidden="false" customHeight="true" outlineLevel="0" collapsed="false">
      <c r="A17" s="1" t="s">
        <v>21</v>
      </c>
    </row>
    <row r="18" customFormat="false" ht="24" hidden="false" customHeight="true" outlineLevel="0" collapsed="false">
      <c r="A18" s="1" t="s">
        <v>22</v>
      </c>
    </row>
    <row r="20" customFormat="false" ht="24" hidden="false" customHeight="true" outlineLevel="0" collapsed="false">
      <c r="A20" s="2" t="s">
        <v>23</v>
      </c>
    </row>
  </sheetData>
  <printOptions headings="false" gridLines="false" gridLinesSet="true" horizontalCentered="false" verticalCentered="false"/>
  <pageMargins left="0.35" right="0.35" top="0.4" bottom="0.4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2:H16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24" customHeight="true" zeroHeight="false" outlineLevelRow="0" outlineLevelCol="0"/>
  <cols>
    <col collapsed="false" customWidth="true" hidden="false" outlineLevel="0" max="1" min="1" style="1" width="16.71"/>
    <col collapsed="false" customWidth="true" hidden="false" outlineLevel="0" max="2" min="2" style="1" width="12.71"/>
    <col collapsed="false" customWidth="true" hidden="false" outlineLevel="0" max="3" min="3" style="1" width="19.71"/>
    <col collapsed="false" customWidth="true" hidden="false" outlineLevel="0" max="4" min="4" style="1" width="11.71"/>
    <col collapsed="false" customWidth="true" hidden="false" outlineLevel="0" max="6" min="5" style="1" width="12.71"/>
    <col collapsed="false" customWidth="true" hidden="false" outlineLevel="0" max="7" min="7" style="1" width="16.71"/>
    <col collapsed="false" customWidth="true" hidden="false" outlineLevel="0" max="8" min="8" style="1" width="37.71"/>
  </cols>
  <sheetData>
    <row r="2" customFormat="false" ht="27.75" hidden="false" customHeight="true" outlineLevel="0" collapsed="false">
      <c r="A2" s="3" t="s">
        <v>24</v>
      </c>
    </row>
    <row r="3" customFormat="false" ht="24" hidden="false" customHeight="true" outlineLevel="0" collapsed="false">
      <c r="A3" s="2" t="s">
        <v>25</v>
      </c>
    </row>
    <row r="4" customFormat="false" ht="24" hidden="false" customHeight="true" outlineLevel="0" collapsed="false">
      <c r="A4" s="2" t="s">
        <v>26</v>
      </c>
    </row>
    <row r="5" customFormat="false" ht="24" hidden="false" customHeight="true" outlineLevel="0" collapsed="false">
      <c r="A5" s="2" t="s">
        <v>27</v>
      </c>
    </row>
    <row r="7" customFormat="false" ht="33.75" hidden="false" customHeight="true" outlineLevel="0" collapsed="false">
      <c r="A7" s="6" t="s">
        <v>28</v>
      </c>
      <c r="B7" s="6" t="s">
        <v>29</v>
      </c>
      <c r="C7" s="6" t="s">
        <v>30</v>
      </c>
      <c r="D7" s="6" t="s">
        <v>31</v>
      </c>
      <c r="E7" s="6" t="s">
        <v>32</v>
      </c>
      <c r="F7" s="6" t="s">
        <v>33</v>
      </c>
      <c r="G7" s="6" t="s">
        <v>34</v>
      </c>
      <c r="H7" s="6" t="s">
        <v>35</v>
      </c>
    </row>
    <row r="8" customFormat="false" ht="24" hidden="false" customHeight="true" outlineLevel="0" collapsed="false">
      <c r="A8" s="7" t="s">
        <v>36</v>
      </c>
      <c r="B8" s="7" t="s">
        <v>37</v>
      </c>
      <c r="C8" s="1" t="s">
        <v>38</v>
      </c>
      <c r="D8" s="8" t="n">
        <v>4</v>
      </c>
      <c r="E8" s="8" t="n">
        <v>1</v>
      </c>
      <c r="F8" s="4" t="n">
        <f aca="false">IF(OR(NOT(ISNUMBER(D8)),NOT(ISNUMBER(E8))),"unknown",D8-E8)</f>
        <v>3</v>
      </c>
      <c r="G8" s="7" t="s">
        <v>39</v>
      </c>
    </row>
    <row r="9" customFormat="false" ht="24" hidden="false" customHeight="true" outlineLevel="0" collapsed="false">
      <c r="A9" s="7" t="s">
        <v>40</v>
      </c>
      <c r="B9" s="7" t="s">
        <v>41</v>
      </c>
      <c r="C9" s="1" t="s">
        <v>42</v>
      </c>
      <c r="D9" s="8" t="n">
        <v>0</v>
      </c>
      <c r="E9" s="8" t="n">
        <v>0</v>
      </c>
      <c r="F9" s="4" t="n">
        <f aca="false">IF(OR(NOT(ISNUMBER(D9)),NOT(ISNUMBER(E9))),"unknown",D9-E9)</f>
        <v>0</v>
      </c>
      <c r="G9" s="7" t="s">
        <v>39</v>
      </c>
    </row>
    <row r="10" customFormat="false" ht="24" hidden="false" customHeight="true" outlineLevel="0" collapsed="false">
      <c r="A10" s="7" t="s">
        <v>43</v>
      </c>
      <c r="B10" s="7" t="s">
        <v>44</v>
      </c>
      <c r="C10" s="1" t="s">
        <v>45</v>
      </c>
      <c r="D10" s="8"/>
      <c r="E10" s="8" t="n">
        <v>1</v>
      </c>
      <c r="F10" s="4" t="str">
        <f aca="false">IF(OR(NOT(ISNUMBER(D10)),NOT(ISNUMBER(E10))),"unknown",D10-E10)</f>
        <v>unknown</v>
      </c>
      <c r="G10" s="7" t="s">
        <v>46</v>
      </c>
      <c r="H10" s="1" t="s">
        <v>47</v>
      </c>
    </row>
    <row r="11" customFormat="false" ht="24" hidden="false" customHeight="true" outlineLevel="0" collapsed="false">
      <c r="A11" s="7" t="s">
        <v>48</v>
      </c>
      <c r="B11" s="7" t="s">
        <v>49</v>
      </c>
      <c r="C11" s="1" t="s">
        <v>50</v>
      </c>
      <c r="D11" s="8"/>
      <c r="E11" s="8" t="n">
        <v>0</v>
      </c>
      <c r="F11" s="4" t="str">
        <f aca="false">IF(OR(NOT(ISNUMBER(D11)),NOT(ISNUMBER(E11))),"unknown",D11-E11)</f>
        <v>unknown</v>
      </c>
      <c r="G11" s="7" t="s">
        <v>51</v>
      </c>
      <c r="H11" s="1" t="s">
        <v>52</v>
      </c>
    </row>
    <row r="12" customFormat="false" ht="24" hidden="false" customHeight="true" outlineLevel="0" collapsed="false">
      <c r="A12" s="7" t="s">
        <v>53</v>
      </c>
      <c r="B12" s="7" t="s">
        <v>54</v>
      </c>
      <c r="C12" s="1" t="s">
        <v>55</v>
      </c>
      <c r="D12" s="8" t="n">
        <v>3</v>
      </c>
      <c r="E12" s="8" t="n">
        <v>1</v>
      </c>
      <c r="F12" s="4" t="n">
        <f aca="false">IF(OR(NOT(ISNUMBER(D12)),NOT(ISNUMBER(E12))),"unknown",D12-E12)</f>
        <v>2</v>
      </c>
      <c r="G12" s="7" t="s">
        <v>39</v>
      </c>
      <c r="H12" s="1" t="s">
        <v>56</v>
      </c>
    </row>
    <row r="13" customFormat="false" ht="24" hidden="false" customHeight="true" outlineLevel="0" collapsed="false">
      <c r="A13" s="7" t="s">
        <v>57</v>
      </c>
      <c r="B13" s="7" t="s">
        <v>54</v>
      </c>
      <c r="C13" s="1" t="s">
        <v>55</v>
      </c>
      <c r="D13" s="8" t="n">
        <v>5</v>
      </c>
      <c r="E13" s="8" t="n">
        <v>1</v>
      </c>
      <c r="F13" s="4" t="n">
        <f aca="false">IF(OR(NOT(ISNUMBER(D13)),NOT(ISNUMBER(E13))),"unknown",D13-E13)</f>
        <v>4</v>
      </c>
      <c r="G13" s="7" t="s">
        <v>39</v>
      </c>
      <c r="H13" s="1" t="s">
        <v>56</v>
      </c>
    </row>
    <row r="16" customFormat="false" ht="24" hidden="false" customHeight="true" outlineLevel="0" collapsed="false">
      <c r="A16" s="2" t="s">
        <v>58</v>
      </c>
    </row>
  </sheetData>
  <autoFilter ref="A7:H13"/>
  <conditionalFormatting sqref="F8:F13">
    <cfRule type="cellIs" priority="2" operator="equal" aboveAverage="0" equalAverage="0" bottom="0" percent="0" rank="0" text="" dxfId="7">
      <formula>"unknown"</formula>
    </cfRule>
    <cfRule type="cellIs" priority="3" operator="lessThan" aboveAverage="0" equalAverage="0" bottom="0" percent="0" rank="0" text="" dxfId="8">
      <formula>0</formula>
    </cfRule>
  </conditionalFormatting>
  <conditionalFormatting sqref="H8:H13">
    <cfRule type="expression" priority="4" aboveAverage="0" equalAverage="0" bottom="0" percent="0" rank="0" text="" dxfId="7">
      <formula>$H8&lt;&gt;""</formula>
    </cfRule>
  </conditionalFormatting>
  <dataValidations count="1">
    <dataValidation allowBlank="true" error="Enter zero or a positive whole number, or leave unknown blank." errorStyle="stop" errorTitle="Use a whole-unit count" operator="greaterThanOrEqual" showDropDown="false" showErrorMessage="true" showInputMessage="true" sqref="D8:E13" type="whole">
      <formula1>0</formula1>
      <formula2>0</formula2>
    </dataValidation>
  </dataValidations>
  <printOptions headings="false" gridLines="false" gridLinesSet="true" horizontalCentered="false" verticalCentered="false"/>
  <pageMargins left="0.35" right="0.35" top="0.4" bottom="0.4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LibreOfficeDev/26.8.0.0.alpha0$Linux_X86_64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2026-10-02T03:26:37Z</dcterms:created>
  <dc:creator>awesome-dot fictional example</dc:creator>
  <dc:description/>
  <dc:language>en-US</dc:language>
  <cp:lastModifiedBy>awesome-dot fictional example</cp:lastModifiedBy>
  <dcterms:modified xsi:type="dcterms:W3CDTF">2026-10-02T03:26:56Z</dcterms:modified>
  <cp:revision>0</cp:revision>
  <dc:subject>Inventory cleanup and formula preservation</dc:subject>
  <dc:title>Fictional equipment export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